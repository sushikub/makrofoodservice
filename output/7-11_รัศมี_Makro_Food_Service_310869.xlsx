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-11 รอบ Makro F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8" authorId="0">
      <text>
        <r>
          <rPr>
            <sz val="10"/>
            <rFont val="FreeSans"/>
            <family val="2"/>
          </rPr>
          <t xml:space="preserve">ข้อความหัวแถวคงไว้ตามต้นฉบับ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ตจว</t>
        </r>
        <r>
          <rPr>
            <sz val="10"/>
            <rFont val="Arial"/>
            <family val="2"/>
          </rPr>
          <t xml:space="preserve">. = </t>
        </r>
        <r>
          <rPr>
            <sz val="10"/>
            <rFont val="FreeSans"/>
            <family val="2"/>
          </rPr>
          <t xml:space="preserve">ต่างจังหวัด</t>
        </r>
        <r>
          <rPr>
            <sz val="10"/>
            <rFont val="Arial"/>
            <family val="2"/>
          </rPr>
          <t xml:space="preserve">)</t>
        </r>
      </text>
    </comment>
    <comment ref="B19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  <comment ref="B25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  <comment ref="B32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  <comment ref="B34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  <comment ref="B38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  <comment ref="B40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  <comment ref="B41" authorId="0">
      <text>
        <r>
          <rPr>
            <sz val="10"/>
            <rFont val="FreeSans"/>
            <family val="2"/>
          </rPr>
          <t xml:space="preserve">จังหวัดนี้ยังไม่ได้ยืนยัน กรุณาตรวจสอบ</t>
        </r>
      </text>
    </comment>
  </commentList>
</comments>
</file>

<file path=xl/sharedStrings.xml><?xml version="1.0" encoding="utf-8"?>
<sst xmlns="http://schemas.openxmlformats.org/spreadsheetml/2006/main" count="148" uniqueCount="89">
  <si>
    <t xml:space="preserve">จำนวนร้าน 7-11 ในรัศมีจาก Makro Food Service (MIN , MAX , MODE , AVG) 31/8/69</t>
  </si>
  <si>
    <t xml:space="preserve">หน่วย : สาขา</t>
  </si>
  <si>
    <t xml:space="preserve">Region</t>
  </si>
  <si>
    <t xml:space="preserve">Radius 1 KM.</t>
  </si>
  <si>
    <t xml:space="preserve">Radius 2 KM.</t>
  </si>
  <si>
    <t xml:space="preserve">Radius 3 KM.</t>
  </si>
  <si>
    <t xml:space="preserve">Radius 5 KM.</t>
  </si>
  <si>
    <t xml:space="preserve">MIN</t>
  </si>
  <si>
    <t xml:space="preserve">MAX</t>
  </si>
  <si>
    <t xml:space="preserve">MODE</t>
  </si>
  <si>
    <t xml:space="preserve">AVG</t>
  </si>
  <si>
    <t xml:space="preserve">Bangkok Metropolitan Region (กทม.+ปริมณฑล)</t>
  </si>
  <si>
    <t xml:space="preserve">Region (ตจว.)</t>
  </si>
  <si>
    <t xml:space="preserve">MODE = ค่าที่ซ้ำบ่อยที่สุด (ถ้ามีหลายค่าซ้ำเท่ากัน Excel จะคืนค่าที่เจอก่อน) · AVG แสดงปัดเป็นจำนวนเต็ม</t>
  </si>
  <si>
    <t xml:space="preserve">ที่มา: ถอดตัวเลขจากรูปตารางที่ผู้ใช้ส่งมา (ข้อมูล ณ 31/8/69)</t>
  </si>
  <si>
    <t xml:space="preserve">จำนวนร้าน 7-11 ในรัศมีจาก Makro Food Service (31/8/69)</t>
  </si>
  <si>
    <t xml:space="preserve">No</t>
  </si>
  <si>
    <t xml:space="preserve">Region (กทม. + ปริมณฑล)</t>
  </si>
  <si>
    <t xml:space="preserve">Makro Food Service</t>
  </si>
  <si>
    <t xml:space="preserve">Total 7-11 Branch</t>
  </si>
  <si>
    <t xml:space="preserve">Total 7-11 Bangkok Metropolitan Region (กทม.+ปริมณฑล)</t>
  </si>
  <si>
    <t xml:space="preserve">Bangkok Metropolitan Region (กรุงเทพฯ)</t>
  </si>
  <si>
    <t xml:space="preserve">Pinklao</t>
  </si>
  <si>
    <t xml:space="preserve">Chan Road</t>
  </si>
  <si>
    <t xml:space="preserve">Sukhumvit 22</t>
  </si>
  <si>
    <t xml:space="preserve">Mengjai</t>
  </si>
  <si>
    <t xml:space="preserve">Phong Phet</t>
  </si>
  <si>
    <t xml:space="preserve">Kanlapaphruek</t>
  </si>
  <si>
    <t xml:space="preserve">Wang Hin</t>
  </si>
  <si>
    <t xml:space="preserve">Bangkok Metropolitan Region (นนทบุรี)</t>
  </si>
  <si>
    <t xml:space="preserve">Sanambinnam</t>
  </si>
  <si>
    <t xml:space="preserve">Udomsuk</t>
  </si>
  <si>
    <t xml:space="preserve">Muangthong</t>
  </si>
  <si>
    <t xml:space="preserve">Petchkasem</t>
  </si>
  <si>
    <t xml:space="preserve">Bangkok Metropolitan Region (สมุทรปราการ)</t>
  </si>
  <si>
    <t xml:space="preserve">Thep Rak</t>
  </si>
  <si>
    <t xml:space="preserve">Ram Khamhang 24</t>
  </si>
  <si>
    <t xml:space="preserve">Phraeksa</t>
  </si>
  <si>
    <t xml:space="preserve">Bang Kho Laem</t>
  </si>
  <si>
    <t xml:space="preserve">Leab Klongsong</t>
  </si>
  <si>
    <t xml:space="preserve">Pracha Uthit</t>
  </si>
  <si>
    <t xml:space="preserve">Srinakarin 2</t>
  </si>
  <si>
    <t xml:space="preserve">Lat Krabang</t>
  </si>
  <si>
    <t xml:space="preserve">Nathong charoen</t>
  </si>
  <si>
    <t xml:space="preserve">Nawamin 70</t>
  </si>
  <si>
    <t xml:space="preserve">Ramkhamhaeng (Sammakom)</t>
  </si>
  <si>
    <t xml:space="preserve">Bodindecha</t>
  </si>
  <si>
    <t xml:space="preserve">Suksawas</t>
  </si>
  <si>
    <t xml:space="preserve">Sukhumvit 71</t>
  </si>
  <si>
    <t xml:space="preserve">Wongsakorn 2</t>
  </si>
  <si>
    <t xml:space="preserve">Rungroj Market</t>
  </si>
  <si>
    <t xml:space="preserve">Onnut</t>
  </si>
  <si>
    <t xml:space="preserve">Bangkok Metropolitan Region (ปทุมธานี)</t>
  </si>
  <si>
    <t xml:space="preserve">Lam Luk Ka</t>
  </si>
  <si>
    <t xml:space="preserve">Pradit Manutham</t>
  </si>
  <si>
    <t xml:space="preserve">Rama 4</t>
  </si>
  <si>
    <t xml:space="preserve">Town in Town</t>
  </si>
  <si>
    <t xml:space="preserve">Total 7-11 Bangkok Metropolitan Region (ตจว.)</t>
  </si>
  <si>
    <t xml:space="preserve">East (ชลบุรี)</t>
  </si>
  <si>
    <t xml:space="preserve">Pattaya N.</t>
  </si>
  <si>
    <t xml:space="preserve">North (เชียงใหม่)</t>
  </si>
  <si>
    <t xml:space="preserve">Sirimangkalajarn</t>
  </si>
  <si>
    <t xml:space="preserve">South (ภูเก็ต)</t>
  </si>
  <si>
    <t xml:space="preserve">Patong</t>
  </si>
  <si>
    <t xml:space="preserve">Laem Chabang</t>
  </si>
  <si>
    <t xml:space="preserve">Amata Nakhon</t>
  </si>
  <si>
    <t xml:space="preserve">North Eastern (ขอนแก่น)</t>
  </si>
  <si>
    <t xml:space="preserve">Khon Kaen 2</t>
  </si>
  <si>
    <t xml:space="preserve">South (สุราษฎร์ธานี)</t>
  </si>
  <si>
    <t xml:space="preserve">Ko Samui</t>
  </si>
  <si>
    <t xml:space="preserve">Rawai</t>
  </si>
  <si>
    <t xml:space="preserve">North Eastern (นครราชสีมา)</t>
  </si>
  <si>
    <t xml:space="preserve">Nakhon Ratchsima 2</t>
  </si>
  <si>
    <t xml:space="preserve">West (เพชรบุรี)</t>
  </si>
  <si>
    <t xml:space="preserve">Cha-Am</t>
  </si>
  <si>
    <t xml:space="preserve">Karon</t>
  </si>
  <si>
    <t xml:space="preserve">West (ประจวบคีรีขันธ์)</t>
  </si>
  <si>
    <t xml:space="preserve">Hua Hin</t>
  </si>
  <si>
    <t xml:space="preserve">South (กระบี่)</t>
  </si>
  <si>
    <t xml:space="preserve">Ao Nang</t>
  </si>
  <si>
    <t xml:space="preserve">Lamai</t>
  </si>
  <si>
    <t xml:space="preserve">Ko Pha-Ngan</t>
  </si>
  <si>
    <t xml:space="preserve">Pakchong</t>
  </si>
  <si>
    <t xml:space="preserve">North (พิษณุโลก)</t>
  </si>
  <si>
    <t xml:space="preserve">Phitsanulok 2</t>
  </si>
  <si>
    <t xml:space="preserve">East (ระยอง)</t>
  </si>
  <si>
    <t xml:space="preserve">Ban Phe</t>
  </si>
  <si>
    <t xml:space="preserve">East (ตราด)</t>
  </si>
  <si>
    <t xml:space="preserve">Ko Chang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</si>
</sst>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2A6B"/>
        <bgColor rgb="FF333399"/>
      </patternFill>
    </fill>
    <fill>
      <patternFill patternType="solid">
        <fgColor rgb="FFF2DCDB"/>
        <bgColor rgb="FFFBEAEA"/>
      </patternFill>
    </fill>
    <fill>
      <patternFill patternType="solid">
        <fgColor rgb="FFE26B0A"/>
        <bgColor rgb="FFFF9900"/>
      </patternFill>
    </fill>
    <fill>
      <patternFill patternType="solid">
        <fgColor rgb="FFFBEAEA"/>
        <bgColor rgb="FFFFF2CC"/>
      </patternFill>
    </fill>
    <fill>
      <patternFill patternType="solid">
        <fgColor rgb="FFFFF2CC"/>
        <bgColor rgb="FFFBEA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BEA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E26B0A"/>
      <rgbColor rgb="FF595959"/>
      <rgbColor rgb="FF969696"/>
      <rgbColor rgb="FF1F2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38"/>
    <col collapsed="false" customWidth="true" hidden="false" outlineLevel="0" max="7" min="4" style="1" width="11"/>
    <col collapsed="false" customWidth="true" hidden="false" outlineLevel="0" max="8" min="8" style="1" width="3"/>
    <col collapsed="false" customWidth="true" hidden="false" outlineLevel="0" max="12" min="9" style="1" width="8"/>
    <col collapsed="false" customWidth="true" hidden="false" outlineLevel="0" max="13" min="13" style="1" width="3"/>
    <col collapsed="false" customWidth="true" hidden="false" outlineLevel="0" max="17" min="14" style="1" width="8"/>
    <col collapsed="false" customWidth="true" hidden="false" outlineLevel="0" max="18" min="18" style="1" width="3"/>
    <col collapsed="false" customWidth="true" hidden="false" outlineLevel="0" max="22" min="19" style="1" width="8"/>
  </cols>
  <sheetData>
    <row r="1" customFormat="false" ht="16.5" hidden="false" customHeight="true" outlineLevel="0" collapsed="false">
      <c r="A1" s="2" t="s">
        <v>0</v>
      </c>
      <c r="Q1" s="3" t="s">
        <v>1</v>
      </c>
    </row>
    <row r="3" customFormat="false" ht="15" hidden="false" customHeight="true" outlineLevel="0" collapsed="false">
      <c r="B3" s="4" t="s">
        <v>2</v>
      </c>
      <c r="C3" s="4"/>
      <c r="D3" s="5" t="s">
        <v>3</v>
      </c>
      <c r="E3" s="5"/>
      <c r="F3" s="5"/>
      <c r="G3" s="5"/>
      <c r="I3" s="5" t="s">
        <v>4</v>
      </c>
      <c r="J3" s="5"/>
      <c r="K3" s="5"/>
      <c r="L3" s="5"/>
      <c r="N3" s="5" t="s">
        <v>5</v>
      </c>
      <c r="O3" s="5"/>
      <c r="P3" s="5"/>
      <c r="Q3" s="5"/>
      <c r="S3" s="5" t="s">
        <v>6</v>
      </c>
      <c r="T3" s="5"/>
      <c r="U3" s="5"/>
      <c r="V3" s="5"/>
    </row>
    <row r="4" customFormat="false" ht="15" hidden="false" customHeight="true" outlineLevel="0" collapsed="false">
      <c r="B4" s="4"/>
      <c r="C4" s="4"/>
      <c r="D4" s="6" t="s">
        <v>7</v>
      </c>
      <c r="E4" s="6" t="s">
        <v>8</v>
      </c>
      <c r="F4" s="7" t="s">
        <v>9</v>
      </c>
      <c r="G4" s="6" t="s">
        <v>10</v>
      </c>
      <c r="I4" s="6" t="s">
        <v>7</v>
      </c>
      <c r="J4" s="6" t="s">
        <v>8</v>
      </c>
      <c r="K4" s="7" t="s">
        <v>9</v>
      </c>
      <c r="L4" s="6" t="s">
        <v>10</v>
      </c>
      <c r="N4" s="6" t="s">
        <v>7</v>
      </c>
      <c r="O4" s="6" t="s">
        <v>8</v>
      </c>
      <c r="P4" s="7" t="s">
        <v>9</v>
      </c>
      <c r="Q4" s="6" t="s">
        <v>10</v>
      </c>
      <c r="S4" s="6" t="s">
        <v>7</v>
      </c>
      <c r="T4" s="6" t="s">
        <v>8</v>
      </c>
      <c r="U4" s="7" t="s">
        <v>9</v>
      </c>
      <c r="V4" s="6" t="s">
        <v>10</v>
      </c>
    </row>
    <row r="5" customFormat="false" ht="15" hidden="false" customHeight="true" outlineLevel="0" collapsed="false">
      <c r="B5" s="8" t="s">
        <v>11</v>
      </c>
      <c r="C5" s="8"/>
      <c r="D5" s="9" t="n">
        <f aca="false">MIN(D15:D46)</f>
        <v>3</v>
      </c>
      <c r="E5" s="9" t="n">
        <f aca="false">MAX(D15:D46)</f>
        <v>25</v>
      </c>
      <c r="F5" s="10" t="n">
        <f aca="false">MODE(D15:D46)</f>
        <v>10</v>
      </c>
      <c r="G5" s="9" t="n">
        <f aca="false">AVERAGE(D15:D46)</f>
        <v>13.03125</v>
      </c>
      <c r="I5" s="9" t="n">
        <f aca="false">MIN(E15:E46)</f>
        <v>14</v>
      </c>
      <c r="J5" s="9" t="n">
        <f aca="false">MAX(E15:E46)</f>
        <v>88</v>
      </c>
      <c r="K5" s="10" t="n">
        <f aca="false">MODE(E15:E46)</f>
        <v>29</v>
      </c>
      <c r="L5" s="9" t="n">
        <f aca="false">AVERAGE(E15:E46)</f>
        <v>40.5</v>
      </c>
      <c r="N5" s="9" t="n">
        <f aca="false">MIN(F15:F46)</f>
        <v>26</v>
      </c>
      <c r="O5" s="9" t="n">
        <f aca="false">MAX(F15:F46)</f>
        <v>179</v>
      </c>
      <c r="P5" s="10" t="n">
        <f aca="false">MODE(F15:F46)</f>
        <v>56</v>
      </c>
      <c r="Q5" s="9" t="n">
        <f aca="false">AVERAGE(F15:F46)</f>
        <v>74.09375</v>
      </c>
      <c r="S5" s="9" t="n">
        <f aca="false">MIN(G15:G46)</f>
        <v>30</v>
      </c>
      <c r="T5" s="9" t="n">
        <f aca="false">MAX(G15:G46)</f>
        <v>292</v>
      </c>
      <c r="U5" s="10" t="n">
        <f aca="false">MODE(G15:G46)</f>
        <v>99</v>
      </c>
      <c r="V5" s="9" t="n">
        <f aca="false">AVERAGE(G15:G46)</f>
        <v>119.375</v>
      </c>
    </row>
    <row r="6" customFormat="false" ht="15" hidden="false" customHeight="true" outlineLevel="0" collapsed="false">
      <c r="B6" s="8" t="s">
        <v>12</v>
      </c>
      <c r="C6" s="8"/>
      <c r="D6" s="9" t="n">
        <f aca="false">MIN(D49:D67)</f>
        <v>1</v>
      </c>
      <c r="E6" s="9" t="n">
        <f aca="false">MAX(D49:D67)</f>
        <v>22</v>
      </c>
      <c r="F6" s="10" t="n">
        <f aca="false">MODE(D49:D67)</f>
        <v>1</v>
      </c>
      <c r="G6" s="9" t="n">
        <f aca="false">AVERAGE(D49:D67)</f>
        <v>6.36842105263158</v>
      </c>
      <c r="I6" s="9" t="n">
        <f aca="false">MIN(E49:E67)</f>
        <v>2</v>
      </c>
      <c r="J6" s="9" t="n">
        <f aca="false">MAX(E49:E67)</f>
        <v>60</v>
      </c>
      <c r="K6" s="10" t="n">
        <f aca="false">MODE(E49:E67)</f>
        <v>2</v>
      </c>
      <c r="L6" s="9" t="n">
        <f aca="false">AVERAGE(E49:E67)</f>
        <v>16.2631578947368</v>
      </c>
      <c r="N6" s="9" t="n">
        <f aca="false">MIN(F49:F67)</f>
        <v>2</v>
      </c>
      <c r="O6" s="9" t="n">
        <f aca="false">MAX(F49:F67)</f>
        <v>131</v>
      </c>
      <c r="P6" s="10" t="n">
        <f aca="false">MODE(F49:F67)</f>
        <v>5</v>
      </c>
      <c r="Q6" s="9" t="n">
        <f aca="false">AVERAGE(F49:F67)</f>
        <v>26.7894736842105</v>
      </c>
      <c r="S6" s="9" t="n">
        <f aca="false">MIN(G49:G67)</f>
        <v>5</v>
      </c>
      <c r="T6" s="9" t="n">
        <f aca="false">MAX(G49:G67)</f>
        <v>224</v>
      </c>
      <c r="U6" s="10" t="n">
        <f aca="false">MODE(G49:G67)</f>
        <v>21</v>
      </c>
      <c r="V6" s="9" t="n">
        <f aca="false">AVERAGE(G49:G67)</f>
        <v>44.1578947368421</v>
      </c>
    </row>
    <row r="7" customFormat="false" ht="15" hidden="false" customHeight="true" outlineLevel="0" collapsed="false">
      <c r="B7" s="11" t="s">
        <v>13</v>
      </c>
    </row>
    <row r="8" customFormat="false" ht="15" hidden="false" customHeight="true" outlineLevel="0" collapsed="false">
      <c r="B8" s="11" t="s">
        <v>14</v>
      </c>
    </row>
    <row r="11" customFormat="false" ht="16.5" hidden="false" customHeight="true" outlineLevel="0" collapsed="false">
      <c r="A11" s="2" t="s">
        <v>15</v>
      </c>
      <c r="G11" s="3" t="s">
        <v>1</v>
      </c>
    </row>
    <row r="12" customFormat="false" ht="23.25" hidden="false" customHeight="true" outlineLevel="0" collapsed="false">
      <c r="A12" s="4" t="s">
        <v>16</v>
      </c>
      <c r="B12" s="4" t="s">
        <v>17</v>
      </c>
      <c r="C12" s="4" t="s">
        <v>18</v>
      </c>
      <c r="D12" s="5" t="s">
        <v>3</v>
      </c>
      <c r="E12" s="5" t="s">
        <v>4</v>
      </c>
      <c r="F12" s="5" t="s">
        <v>5</v>
      </c>
      <c r="G12" s="5" t="s">
        <v>6</v>
      </c>
    </row>
    <row r="13" customFormat="false" ht="15" hidden="false" customHeight="true" outlineLevel="0" collapsed="false">
      <c r="A13" s="6" t="s">
        <v>19</v>
      </c>
      <c r="B13" s="6"/>
      <c r="C13" s="6"/>
      <c r="D13" s="12" t="n">
        <f aca="false">D14+D48</f>
        <v>538</v>
      </c>
      <c r="E13" s="12" t="n">
        <f aca="false">E14+E48</f>
        <v>1605</v>
      </c>
      <c r="F13" s="12" t="n">
        <f aca="false">F14+F48</f>
        <v>2880</v>
      </c>
      <c r="G13" s="12" t="n">
        <f aca="false">G14+G48</f>
        <v>4659</v>
      </c>
    </row>
    <row r="14" customFormat="false" ht="27.75" hidden="false" customHeight="true" outlineLevel="0" collapsed="false">
      <c r="A14" s="13" t="s">
        <v>20</v>
      </c>
      <c r="B14" s="13"/>
      <c r="C14" s="13"/>
      <c r="D14" s="14" t="n">
        <f aca="false">SUM(D15:D46)</f>
        <v>417</v>
      </c>
      <c r="E14" s="14" t="n">
        <f aca="false">SUM(E15:E46)</f>
        <v>1296</v>
      </c>
      <c r="F14" s="14" t="n">
        <f aca="false">SUM(F15:F46)</f>
        <v>2371</v>
      </c>
      <c r="G14" s="14" t="n">
        <f aca="false">SUM(G15:G46)</f>
        <v>3820</v>
      </c>
    </row>
    <row r="15" customFormat="false" ht="15" hidden="false" customHeight="true" outlineLevel="0" collapsed="false">
      <c r="A15" s="15" t="n">
        <v>1</v>
      </c>
      <c r="B15" s="16" t="s">
        <v>21</v>
      </c>
      <c r="C15" s="16" t="s">
        <v>22</v>
      </c>
      <c r="D15" s="17" t="n">
        <v>18</v>
      </c>
      <c r="E15" s="17" t="n">
        <v>57</v>
      </c>
      <c r="F15" s="17" t="n">
        <v>114</v>
      </c>
      <c r="G15" s="17" t="n">
        <v>292</v>
      </c>
    </row>
    <row r="16" customFormat="false" ht="15" hidden="false" customHeight="true" outlineLevel="0" collapsed="false">
      <c r="A16" s="15" t="n">
        <v>2</v>
      </c>
      <c r="B16" s="16" t="s">
        <v>21</v>
      </c>
      <c r="C16" s="16" t="s">
        <v>23</v>
      </c>
      <c r="D16" s="17" t="n">
        <v>23</v>
      </c>
      <c r="E16" s="17" t="n">
        <v>88</v>
      </c>
      <c r="F16" s="17" t="n">
        <v>179</v>
      </c>
      <c r="G16" s="17" t="n">
        <v>275</v>
      </c>
    </row>
    <row r="17" customFormat="false" ht="15" hidden="false" customHeight="true" outlineLevel="0" collapsed="false">
      <c r="A17" s="15" t="n">
        <v>3</v>
      </c>
      <c r="B17" s="16" t="s">
        <v>21</v>
      </c>
      <c r="C17" s="16" t="s">
        <v>24</v>
      </c>
      <c r="D17" s="17" t="n">
        <v>25</v>
      </c>
      <c r="E17" s="17" t="n">
        <v>83</v>
      </c>
      <c r="F17" s="17" t="n">
        <v>140</v>
      </c>
      <c r="G17" s="17" t="n">
        <v>249</v>
      </c>
    </row>
    <row r="18" customFormat="false" ht="15" hidden="false" customHeight="true" outlineLevel="0" collapsed="false">
      <c r="A18" s="15" t="n">
        <v>4</v>
      </c>
      <c r="B18" s="16" t="s">
        <v>21</v>
      </c>
      <c r="C18" s="16" t="s">
        <v>25</v>
      </c>
      <c r="D18" s="17" t="n">
        <v>14</v>
      </c>
      <c r="E18" s="17" t="n">
        <v>52</v>
      </c>
      <c r="F18" s="17" t="n">
        <v>137</v>
      </c>
      <c r="G18" s="17" t="n">
        <v>202</v>
      </c>
    </row>
    <row r="19" customFormat="false" ht="15" hidden="false" customHeight="true" outlineLevel="0" collapsed="false">
      <c r="A19" s="15" t="n">
        <v>5</v>
      </c>
      <c r="B19" s="18" t="s">
        <v>21</v>
      </c>
      <c r="C19" s="16" t="s">
        <v>26</v>
      </c>
      <c r="D19" s="17" t="n">
        <v>24</v>
      </c>
      <c r="E19" s="17" t="n">
        <v>60</v>
      </c>
      <c r="F19" s="17" t="n">
        <v>105</v>
      </c>
      <c r="G19" s="17" t="n">
        <v>180</v>
      </c>
    </row>
    <row r="20" customFormat="false" ht="15" hidden="false" customHeight="true" outlineLevel="0" collapsed="false">
      <c r="A20" s="15" t="n">
        <v>6</v>
      </c>
      <c r="B20" s="16" t="s">
        <v>21</v>
      </c>
      <c r="C20" s="16" t="s">
        <v>27</v>
      </c>
      <c r="D20" s="17" t="n">
        <v>3</v>
      </c>
      <c r="E20" s="17" t="n">
        <v>45</v>
      </c>
      <c r="F20" s="17" t="n">
        <v>98</v>
      </c>
      <c r="G20" s="17" t="n">
        <v>178</v>
      </c>
    </row>
    <row r="21" customFormat="false" ht="15" hidden="false" customHeight="true" outlineLevel="0" collapsed="false">
      <c r="A21" s="15" t="n">
        <v>7</v>
      </c>
      <c r="B21" s="16" t="s">
        <v>21</v>
      </c>
      <c r="C21" s="16" t="s">
        <v>28</v>
      </c>
      <c r="D21" s="17" t="n">
        <v>13</v>
      </c>
      <c r="E21" s="17" t="n">
        <v>50</v>
      </c>
      <c r="F21" s="17" t="n">
        <v>108</v>
      </c>
      <c r="G21" s="17" t="n">
        <v>159</v>
      </c>
    </row>
    <row r="22" customFormat="false" ht="15" hidden="false" customHeight="true" outlineLevel="0" collapsed="false">
      <c r="A22" s="15" t="n">
        <v>8</v>
      </c>
      <c r="B22" s="16" t="s">
        <v>29</v>
      </c>
      <c r="C22" s="16" t="s">
        <v>30</v>
      </c>
      <c r="D22" s="17" t="n">
        <v>8</v>
      </c>
      <c r="E22" s="17" t="n">
        <v>39</v>
      </c>
      <c r="F22" s="17" t="n">
        <v>88</v>
      </c>
      <c r="G22" s="17" t="n">
        <v>157</v>
      </c>
    </row>
    <row r="23" customFormat="false" ht="15" hidden="false" customHeight="true" outlineLevel="0" collapsed="false">
      <c r="A23" s="15" t="n">
        <v>9</v>
      </c>
      <c r="B23" s="16" t="s">
        <v>21</v>
      </c>
      <c r="C23" s="16" t="s">
        <v>31</v>
      </c>
      <c r="D23" s="17" t="n">
        <v>20</v>
      </c>
      <c r="E23" s="17" t="n">
        <v>55</v>
      </c>
      <c r="F23" s="17" t="n">
        <v>90</v>
      </c>
      <c r="G23" s="17" t="n">
        <v>146</v>
      </c>
    </row>
    <row r="24" customFormat="false" ht="15" hidden="false" customHeight="true" outlineLevel="0" collapsed="false">
      <c r="A24" s="15" t="n">
        <v>10</v>
      </c>
      <c r="B24" s="16" t="s">
        <v>29</v>
      </c>
      <c r="C24" s="16" t="s">
        <v>32</v>
      </c>
      <c r="D24" s="17" t="n">
        <v>7</v>
      </c>
      <c r="E24" s="17" t="n">
        <v>32</v>
      </c>
      <c r="F24" s="17" t="n">
        <v>75</v>
      </c>
      <c r="G24" s="17" t="n">
        <v>146</v>
      </c>
    </row>
    <row r="25" customFormat="false" ht="15" hidden="false" customHeight="true" outlineLevel="0" collapsed="false">
      <c r="A25" s="15" t="n">
        <v>11</v>
      </c>
      <c r="B25" s="18" t="s">
        <v>21</v>
      </c>
      <c r="C25" s="16" t="s">
        <v>33</v>
      </c>
      <c r="D25" s="17" t="n">
        <v>10</v>
      </c>
      <c r="E25" s="17" t="n">
        <v>36</v>
      </c>
      <c r="F25" s="17" t="n">
        <v>67</v>
      </c>
      <c r="G25" s="17" t="n">
        <v>144</v>
      </c>
    </row>
    <row r="26" customFormat="false" ht="15" hidden="false" customHeight="true" outlineLevel="0" collapsed="false">
      <c r="A26" s="15" t="n">
        <v>12</v>
      </c>
      <c r="B26" s="16" t="s">
        <v>34</v>
      </c>
      <c r="C26" s="16" t="s">
        <v>35</v>
      </c>
      <c r="D26" s="17" t="n">
        <v>9</v>
      </c>
      <c r="E26" s="17" t="n">
        <v>29</v>
      </c>
      <c r="F26" s="17" t="n">
        <v>83</v>
      </c>
      <c r="G26" s="17" t="n">
        <v>139</v>
      </c>
    </row>
    <row r="27" customFormat="false" ht="15" hidden="false" customHeight="true" outlineLevel="0" collapsed="false">
      <c r="A27" s="15" t="n">
        <v>13</v>
      </c>
      <c r="B27" s="16" t="s">
        <v>21</v>
      </c>
      <c r="C27" s="16" t="s">
        <v>36</v>
      </c>
      <c r="D27" s="17" t="n">
        <v>19</v>
      </c>
      <c r="E27" s="17" t="n">
        <v>67</v>
      </c>
      <c r="F27" s="17" t="n">
        <v>114</v>
      </c>
      <c r="G27" s="17" t="n">
        <v>122</v>
      </c>
    </row>
    <row r="28" customFormat="false" ht="15" hidden="false" customHeight="true" outlineLevel="0" collapsed="false">
      <c r="A28" s="15" t="n">
        <v>14</v>
      </c>
      <c r="B28" s="16" t="s">
        <v>34</v>
      </c>
      <c r="C28" s="16" t="s">
        <v>37</v>
      </c>
      <c r="D28" s="17" t="n">
        <v>8</v>
      </c>
      <c r="E28" s="17" t="n">
        <v>21</v>
      </c>
      <c r="F28" s="17" t="n">
        <v>48</v>
      </c>
      <c r="G28" s="17" t="n">
        <v>115</v>
      </c>
    </row>
    <row r="29" customFormat="false" ht="15" hidden="false" customHeight="true" outlineLevel="0" collapsed="false">
      <c r="A29" s="15" t="n">
        <v>15</v>
      </c>
      <c r="B29" s="16" t="s">
        <v>21</v>
      </c>
      <c r="C29" s="16" t="s">
        <v>38</v>
      </c>
      <c r="D29" s="17" t="n">
        <v>9</v>
      </c>
      <c r="E29" s="17" t="n">
        <v>38</v>
      </c>
      <c r="F29" s="17" t="n">
        <v>75</v>
      </c>
      <c r="G29" s="17" t="n">
        <v>109</v>
      </c>
    </row>
    <row r="30" customFormat="false" ht="15" hidden="false" customHeight="true" outlineLevel="0" collapsed="false">
      <c r="A30" s="15" t="n">
        <v>16</v>
      </c>
      <c r="B30" s="16" t="s">
        <v>21</v>
      </c>
      <c r="C30" s="16" t="s">
        <v>39</v>
      </c>
      <c r="D30" s="17" t="n">
        <v>8</v>
      </c>
      <c r="E30" s="17" t="n">
        <v>21</v>
      </c>
      <c r="F30" s="17" t="n">
        <v>49</v>
      </c>
      <c r="G30" s="17" t="n">
        <v>103</v>
      </c>
    </row>
    <row r="31" customFormat="false" ht="15" hidden="false" customHeight="true" outlineLevel="0" collapsed="false">
      <c r="A31" s="15" t="n">
        <v>17</v>
      </c>
      <c r="B31" s="16" t="s">
        <v>21</v>
      </c>
      <c r="C31" s="16" t="s">
        <v>40</v>
      </c>
      <c r="D31" s="17" t="n">
        <v>13</v>
      </c>
      <c r="E31" s="17" t="n">
        <v>31</v>
      </c>
      <c r="F31" s="17" t="n">
        <v>67</v>
      </c>
      <c r="G31" s="17" t="n">
        <v>102</v>
      </c>
    </row>
    <row r="32" customFormat="false" ht="15" hidden="false" customHeight="true" outlineLevel="0" collapsed="false">
      <c r="A32" s="15" t="n">
        <v>18</v>
      </c>
      <c r="B32" s="18" t="s">
        <v>21</v>
      </c>
      <c r="C32" s="16" t="s">
        <v>41</v>
      </c>
      <c r="D32" s="17" t="n">
        <v>11</v>
      </c>
      <c r="E32" s="17" t="n">
        <v>38</v>
      </c>
      <c r="F32" s="17" t="n">
        <v>63</v>
      </c>
      <c r="G32" s="17" t="n">
        <v>102</v>
      </c>
    </row>
    <row r="33" customFormat="false" ht="15" hidden="false" customHeight="true" outlineLevel="0" collapsed="false">
      <c r="A33" s="15" t="n">
        <v>19</v>
      </c>
      <c r="B33" s="16" t="s">
        <v>21</v>
      </c>
      <c r="C33" s="16" t="s">
        <v>42</v>
      </c>
      <c r="D33" s="17" t="n">
        <v>7</v>
      </c>
      <c r="E33" s="17" t="n">
        <v>22</v>
      </c>
      <c r="F33" s="17" t="n">
        <v>39</v>
      </c>
      <c r="G33" s="17" t="n">
        <v>99</v>
      </c>
    </row>
    <row r="34" customFormat="false" ht="15" hidden="false" customHeight="true" outlineLevel="0" collapsed="false">
      <c r="A34" s="15" t="n">
        <v>20</v>
      </c>
      <c r="B34" s="18" t="s">
        <v>21</v>
      </c>
      <c r="C34" s="16" t="s">
        <v>43</v>
      </c>
      <c r="D34" s="17" t="n">
        <v>10</v>
      </c>
      <c r="E34" s="17" t="n">
        <v>26</v>
      </c>
      <c r="F34" s="17" t="n">
        <v>61</v>
      </c>
      <c r="G34" s="17" t="n">
        <v>99</v>
      </c>
    </row>
    <row r="35" customFormat="false" ht="15" hidden="false" customHeight="true" outlineLevel="0" collapsed="false">
      <c r="A35" s="15" t="n">
        <v>21</v>
      </c>
      <c r="B35" s="16" t="s">
        <v>21</v>
      </c>
      <c r="C35" s="16" t="s">
        <v>44</v>
      </c>
      <c r="D35" s="17" t="n">
        <v>12</v>
      </c>
      <c r="E35" s="17" t="n">
        <v>43</v>
      </c>
      <c r="F35" s="17" t="n">
        <v>66</v>
      </c>
      <c r="G35" s="17" t="n">
        <v>93</v>
      </c>
    </row>
    <row r="36" customFormat="false" ht="15" hidden="false" customHeight="true" outlineLevel="0" collapsed="false">
      <c r="A36" s="15" t="n">
        <v>22</v>
      </c>
      <c r="B36" s="16" t="s">
        <v>21</v>
      </c>
      <c r="C36" s="16" t="s">
        <v>45</v>
      </c>
      <c r="D36" s="17" t="n">
        <v>10</v>
      </c>
      <c r="E36" s="17" t="n">
        <v>29</v>
      </c>
      <c r="F36" s="17" t="n">
        <v>55</v>
      </c>
      <c r="G36" s="17" t="n">
        <v>91</v>
      </c>
    </row>
    <row r="37" customFormat="false" ht="15" hidden="false" customHeight="true" outlineLevel="0" collapsed="false">
      <c r="A37" s="15" t="n">
        <v>23</v>
      </c>
      <c r="B37" s="16" t="s">
        <v>21</v>
      </c>
      <c r="C37" s="16" t="s">
        <v>46</v>
      </c>
      <c r="D37" s="17" t="n">
        <v>25</v>
      </c>
      <c r="E37" s="17" t="n">
        <v>52</v>
      </c>
      <c r="F37" s="17" t="n">
        <v>71</v>
      </c>
      <c r="G37" s="17" t="n">
        <v>73</v>
      </c>
    </row>
    <row r="38" customFormat="false" ht="15" hidden="false" customHeight="true" outlineLevel="0" collapsed="false">
      <c r="A38" s="15" t="n">
        <v>24</v>
      </c>
      <c r="B38" s="18" t="s">
        <v>21</v>
      </c>
      <c r="C38" s="16" t="s">
        <v>47</v>
      </c>
      <c r="D38" s="17" t="n">
        <v>17</v>
      </c>
      <c r="E38" s="17" t="n">
        <v>40</v>
      </c>
      <c r="F38" s="17" t="n">
        <v>56</v>
      </c>
      <c r="G38" s="17" t="n">
        <v>62</v>
      </c>
    </row>
    <row r="39" customFormat="false" ht="15" hidden="false" customHeight="true" outlineLevel="0" collapsed="false">
      <c r="A39" s="15" t="n">
        <v>25</v>
      </c>
      <c r="B39" s="16" t="s">
        <v>21</v>
      </c>
      <c r="C39" s="16" t="s">
        <v>48</v>
      </c>
      <c r="D39" s="17" t="n">
        <v>19</v>
      </c>
      <c r="E39" s="17" t="n">
        <v>39</v>
      </c>
      <c r="F39" s="17" t="n">
        <v>56</v>
      </c>
      <c r="G39" s="17" t="n">
        <v>56</v>
      </c>
    </row>
    <row r="40" customFormat="false" ht="15" hidden="false" customHeight="true" outlineLevel="0" collapsed="false">
      <c r="A40" s="15" t="n">
        <v>26</v>
      </c>
      <c r="B40" s="18" t="s">
        <v>21</v>
      </c>
      <c r="C40" s="16" t="s">
        <v>49</v>
      </c>
      <c r="D40" s="17" t="n">
        <v>10</v>
      </c>
      <c r="E40" s="17" t="n">
        <v>23</v>
      </c>
      <c r="F40" s="17" t="n">
        <v>34</v>
      </c>
      <c r="G40" s="17" t="n">
        <v>55</v>
      </c>
    </row>
    <row r="41" customFormat="false" ht="15" hidden="false" customHeight="true" outlineLevel="0" collapsed="false">
      <c r="A41" s="15" t="n">
        <v>27</v>
      </c>
      <c r="B41" s="18" t="s">
        <v>21</v>
      </c>
      <c r="C41" s="16" t="s">
        <v>50</v>
      </c>
      <c r="D41" s="17" t="n">
        <v>3</v>
      </c>
      <c r="E41" s="17" t="n">
        <v>14</v>
      </c>
      <c r="F41" s="17" t="n">
        <v>26</v>
      </c>
      <c r="G41" s="17" t="n">
        <v>53</v>
      </c>
    </row>
    <row r="42" customFormat="false" ht="15" hidden="false" customHeight="true" outlineLevel="0" collapsed="false">
      <c r="A42" s="15" t="n">
        <v>28</v>
      </c>
      <c r="B42" s="16" t="s">
        <v>21</v>
      </c>
      <c r="C42" s="16" t="s">
        <v>51</v>
      </c>
      <c r="D42" s="17" t="n">
        <v>15</v>
      </c>
      <c r="E42" s="17" t="n">
        <v>44</v>
      </c>
      <c r="F42" s="17" t="n">
        <v>51</v>
      </c>
      <c r="G42" s="17" t="n">
        <v>51</v>
      </c>
    </row>
    <row r="43" customFormat="false" ht="15" hidden="false" customHeight="true" outlineLevel="0" collapsed="false">
      <c r="A43" s="15" t="n">
        <v>29</v>
      </c>
      <c r="B43" s="16" t="s">
        <v>52</v>
      </c>
      <c r="C43" s="16" t="s">
        <v>53</v>
      </c>
      <c r="D43" s="17" t="n">
        <v>10</v>
      </c>
      <c r="E43" s="17" t="n">
        <v>29</v>
      </c>
      <c r="F43" s="17" t="n">
        <v>40</v>
      </c>
      <c r="G43" s="17" t="n">
        <v>49</v>
      </c>
    </row>
    <row r="44" customFormat="false" ht="15" hidden="false" customHeight="true" outlineLevel="0" collapsed="false">
      <c r="A44" s="15" t="n">
        <v>30</v>
      </c>
      <c r="B44" s="16" t="s">
        <v>21</v>
      </c>
      <c r="C44" s="16" t="s">
        <v>54</v>
      </c>
      <c r="D44" s="17" t="n">
        <v>7</v>
      </c>
      <c r="E44" s="17" t="n">
        <v>34</v>
      </c>
      <c r="F44" s="17" t="n">
        <v>44</v>
      </c>
      <c r="G44" s="17" t="n">
        <v>46</v>
      </c>
    </row>
    <row r="45" customFormat="false" ht="15" hidden="false" customHeight="true" outlineLevel="0" collapsed="false">
      <c r="A45" s="15" t="n">
        <v>31</v>
      </c>
      <c r="B45" s="16" t="s">
        <v>21</v>
      </c>
      <c r="C45" s="16" t="s">
        <v>55</v>
      </c>
      <c r="D45" s="17" t="n">
        <v>19</v>
      </c>
      <c r="E45" s="17" t="n">
        <v>39</v>
      </c>
      <c r="F45" s="17" t="n">
        <v>42</v>
      </c>
      <c r="G45" s="17" t="n">
        <v>43</v>
      </c>
    </row>
    <row r="46" customFormat="false" ht="15" hidden="false" customHeight="true" outlineLevel="0" collapsed="false">
      <c r="A46" s="15" t="n">
        <v>32</v>
      </c>
      <c r="B46" s="16" t="s">
        <v>21</v>
      </c>
      <c r="C46" s="16" t="s">
        <v>56</v>
      </c>
      <c r="D46" s="17" t="n">
        <v>11</v>
      </c>
      <c r="E46" s="17" t="n">
        <v>20</v>
      </c>
      <c r="F46" s="17" t="n">
        <v>30</v>
      </c>
      <c r="G46" s="17" t="n">
        <v>30</v>
      </c>
    </row>
    <row r="47" customFormat="false" ht="23.25" hidden="false" customHeight="true" outlineLevel="0" collapsed="false">
      <c r="A47" s="4" t="s">
        <v>16</v>
      </c>
      <c r="B47" s="4" t="s">
        <v>12</v>
      </c>
      <c r="C47" s="4" t="s">
        <v>18</v>
      </c>
      <c r="D47" s="5" t="s">
        <v>3</v>
      </c>
      <c r="E47" s="5" t="s">
        <v>4</v>
      </c>
      <c r="F47" s="5" t="s">
        <v>5</v>
      </c>
      <c r="G47" s="5" t="s">
        <v>6</v>
      </c>
    </row>
    <row r="48" customFormat="false" ht="27.75" hidden="false" customHeight="true" outlineLevel="0" collapsed="false">
      <c r="A48" s="13" t="s">
        <v>57</v>
      </c>
      <c r="B48" s="13"/>
      <c r="C48" s="13"/>
      <c r="D48" s="14" t="n">
        <f aca="false">SUM(D49:D67)</f>
        <v>121</v>
      </c>
      <c r="E48" s="14" t="n">
        <f aca="false">SUM(E49:E67)</f>
        <v>309</v>
      </c>
      <c r="F48" s="14" t="n">
        <f aca="false">SUM(F49:F67)</f>
        <v>509</v>
      </c>
      <c r="G48" s="14" t="n">
        <f aca="false">SUM(G49:G67)</f>
        <v>839</v>
      </c>
    </row>
    <row r="49" customFormat="false" ht="15" hidden="false" customHeight="true" outlineLevel="0" collapsed="false">
      <c r="A49" s="15" t="n">
        <v>33</v>
      </c>
      <c r="B49" s="15" t="s">
        <v>58</v>
      </c>
      <c r="C49" s="16" t="s">
        <v>59</v>
      </c>
      <c r="D49" s="17" t="n">
        <v>15</v>
      </c>
      <c r="E49" s="17" t="n">
        <v>60</v>
      </c>
      <c r="F49" s="17" t="n">
        <v>131</v>
      </c>
      <c r="G49" s="17" t="n">
        <v>224</v>
      </c>
    </row>
    <row r="50" customFormat="false" ht="15" hidden="false" customHeight="true" outlineLevel="0" collapsed="false">
      <c r="A50" s="15" t="n">
        <v>34</v>
      </c>
      <c r="B50" s="15" t="s">
        <v>60</v>
      </c>
      <c r="C50" s="16" t="s">
        <v>61</v>
      </c>
      <c r="D50" s="17" t="n">
        <v>12</v>
      </c>
      <c r="E50" s="17" t="n">
        <v>40</v>
      </c>
      <c r="F50" s="17" t="n">
        <v>62</v>
      </c>
      <c r="G50" s="17" t="n">
        <v>102</v>
      </c>
    </row>
    <row r="51" customFormat="false" ht="15" hidden="false" customHeight="true" outlineLevel="0" collapsed="false">
      <c r="A51" s="15" t="n">
        <v>35</v>
      </c>
      <c r="B51" s="15" t="s">
        <v>62</v>
      </c>
      <c r="C51" s="16" t="s">
        <v>63</v>
      </c>
      <c r="D51" s="17" t="n">
        <v>22</v>
      </c>
      <c r="E51" s="17" t="n">
        <v>48</v>
      </c>
      <c r="F51" s="17" t="n">
        <v>56</v>
      </c>
      <c r="G51" s="17" t="n">
        <v>65</v>
      </c>
    </row>
    <row r="52" customFormat="false" ht="15" hidden="false" customHeight="true" outlineLevel="0" collapsed="false">
      <c r="A52" s="15" t="n">
        <v>36</v>
      </c>
      <c r="B52" s="15" t="s">
        <v>58</v>
      </c>
      <c r="C52" s="16" t="s">
        <v>64</v>
      </c>
      <c r="D52" s="17" t="n">
        <v>5</v>
      </c>
      <c r="E52" s="17" t="n">
        <v>20</v>
      </c>
      <c r="F52" s="17" t="n">
        <v>26</v>
      </c>
      <c r="G52" s="17" t="n">
        <v>64</v>
      </c>
    </row>
    <row r="53" customFormat="false" ht="15" hidden="false" customHeight="true" outlineLevel="0" collapsed="false">
      <c r="A53" s="15" t="n">
        <v>37</v>
      </c>
      <c r="B53" s="15" t="s">
        <v>58</v>
      </c>
      <c r="C53" s="16" t="s">
        <v>65</v>
      </c>
      <c r="D53" s="17" t="n">
        <v>4</v>
      </c>
      <c r="E53" s="17" t="n">
        <v>22</v>
      </c>
      <c r="F53" s="17" t="n">
        <v>41</v>
      </c>
      <c r="G53" s="17" t="n">
        <v>63</v>
      </c>
    </row>
    <row r="54" customFormat="false" ht="15" hidden="false" customHeight="true" outlineLevel="0" collapsed="false">
      <c r="A54" s="15" t="n">
        <v>38</v>
      </c>
      <c r="B54" s="15" t="s">
        <v>66</v>
      </c>
      <c r="C54" s="16" t="s">
        <v>67</v>
      </c>
      <c r="D54" s="17" t="n">
        <v>4</v>
      </c>
      <c r="E54" s="17" t="n">
        <v>9</v>
      </c>
      <c r="F54" s="17" t="n">
        <v>19</v>
      </c>
      <c r="G54" s="17" t="n">
        <v>48</v>
      </c>
    </row>
    <row r="55" customFormat="false" ht="15" hidden="false" customHeight="true" outlineLevel="0" collapsed="false">
      <c r="A55" s="15" t="n">
        <v>39</v>
      </c>
      <c r="B55" s="15" t="s">
        <v>68</v>
      </c>
      <c r="C55" s="16" t="s">
        <v>69</v>
      </c>
      <c r="D55" s="17" t="n">
        <v>7</v>
      </c>
      <c r="E55" s="17" t="n">
        <v>13</v>
      </c>
      <c r="F55" s="17" t="n">
        <v>31</v>
      </c>
      <c r="G55" s="17" t="n">
        <v>45</v>
      </c>
    </row>
    <row r="56" customFormat="false" ht="15" hidden="false" customHeight="true" outlineLevel="0" collapsed="false">
      <c r="A56" s="15" t="n">
        <v>40</v>
      </c>
      <c r="B56" s="15" t="s">
        <v>62</v>
      </c>
      <c r="C56" s="16" t="s">
        <v>70</v>
      </c>
      <c r="D56" s="17" t="n">
        <v>7</v>
      </c>
      <c r="E56" s="17" t="n">
        <v>11</v>
      </c>
      <c r="F56" s="17" t="n">
        <v>13</v>
      </c>
      <c r="G56" s="17" t="n">
        <v>35</v>
      </c>
    </row>
    <row r="57" customFormat="false" ht="15" hidden="false" customHeight="true" outlineLevel="0" collapsed="false">
      <c r="A57" s="15" t="n">
        <v>41</v>
      </c>
      <c r="B57" s="15" t="s">
        <v>71</v>
      </c>
      <c r="C57" s="16" t="s">
        <v>72</v>
      </c>
      <c r="D57" s="17" t="n">
        <v>1</v>
      </c>
      <c r="E57" s="17" t="n">
        <v>2</v>
      </c>
      <c r="F57" s="17" t="n">
        <v>13</v>
      </c>
      <c r="G57" s="17" t="n">
        <v>26</v>
      </c>
    </row>
    <row r="58" customFormat="false" ht="15" hidden="false" customHeight="true" outlineLevel="0" collapsed="false">
      <c r="A58" s="15" t="n">
        <v>42</v>
      </c>
      <c r="B58" s="15" t="s">
        <v>73</v>
      </c>
      <c r="C58" s="16" t="s">
        <v>74</v>
      </c>
      <c r="D58" s="17" t="n">
        <v>7</v>
      </c>
      <c r="E58" s="17" t="n">
        <v>16</v>
      </c>
      <c r="F58" s="17" t="n">
        <v>18</v>
      </c>
      <c r="G58" s="17" t="n">
        <v>24</v>
      </c>
    </row>
    <row r="59" customFormat="false" ht="15" hidden="false" customHeight="true" outlineLevel="0" collapsed="false">
      <c r="A59" s="15" t="n">
        <v>43</v>
      </c>
      <c r="B59" s="15" t="s">
        <v>62</v>
      </c>
      <c r="C59" s="16" t="s">
        <v>75</v>
      </c>
      <c r="D59" s="17" t="n">
        <v>11</v>
      </c>
      <c r="E59" s="17" t="n">
        <v>17</v>
      </c>
      <c r="F59" s="17" t="n">
        <v>23</v>
      </c>
      <c r="G59" s="17" t="n">
        <v>23</v>
      </c>
    </row>
    <row r="60" customFormat="false" ht="15" hidden="false" customHeight="true" outlineLevel="0" collapsed="false">
      <c r="A60" s="15" t="n">
        <v>44</v>
      </c>
      <c r="B60" s="15" t="s">
        <v>76</v>
      </c>
      <c r="C60" s="16" t="s">
        <v>77</v>
      </c>
      <c r="D60" s="17" t="n">
        <v>6</v>
      </c>
      <c r="E60" s="17" t="n">
        <v>8</v>
      </c>
      <c r="F60" s="17" t="n">
        <v>12</v>
      </c>
      <c r="G60" s="17" t="n">
        <v>22</v>
      </c>
    </row>
    <row r="61" customFormat="false" ht="15" hidden="false" customHeight="true" outlineLevel="0" collapsed="false">
      <c r="A61" s="15" t="n">
        <v>45</v>
      </c>
      <c r="B61" s="15" t="s">
        <v>78</v>
      </c>
      <c r="C61" s="16" t="s">
        <v>79</v>
      </c>
      <c r="D61" s="17" t="n">
        <v>2</v>
      </c>
      <c r="E61" s="17" t="n">
        <v>6</v>
      </c>
      <c r="F61" s="17" t="n">
        <v>16</v>
      </c>
      <c r="G61" s="17" t="n">
        <v>21</v>
      </c>
    </row>
    <row r="62" customFormat="false" ht="15" hidden="false" customHeight="true" outlineLevel="0" collapsed="false">
      <c r="A62" s="15" t="n">
        <v>46</v>
      </c>
      <c r="B62" s="15" t="s">
        <v>68</v>
      </c>
      <c r="C62" s="16" t="s">
        <v>80</v>
      </c>
      <c r="D62" s="17" t="n">
        <v>5</v>
      </c>
      <c r="E62" s="17" t="n">
        <v>13</v>
      </c>
      <c r="F62" s="17" t="n">
        <v>17</v>
      </c>
      <c r="G62" s="17" t="n">
        <v>21</v>
      </c>
    </row>
    <row r="63" customFormat="false" ht="15" hidden="false" customHeight="true" outlineLevel="0" collapsed="false">
      <c r="A63" s="15" t="n">
        <v>47</v>
      </c>
      <c r="B63" s="15" t="s">
        <v>68</v>
      </c>
      <c r="C63" s="16" t="s">
        <v>81</v>
      </c>
      <c r="D63" s="17" t="n">
        <v>6</v>
      </c>
      <c r="E63" s="17" t="n">
        <v>12</v>
      </c>
      <c r="F63" s="17" t="n">
        <v>15</v>
      </c>
      <c r="G63" s="17" t="n">
        <v>21</v>
      </c>
    </row>
    <row r="64" customFormat="false" ht="15" hidden="false" customHeight="true" outlineLevel="0" collapsed="false">
      <c r="A64" s="15" t="n">
        <v>48</v>
      </c>
      <c r="B64" s="15" t="s">
        <v>71</v>
      </c>
      <c r="C64" s="16" t="s">
        <v>82</v>
      </c>
      <c r="D64" s="17" t="n">
        <v>1</v>
      </c>
      <c r="E64" s="17" t="n">
        <v>3</v>
      </c>
      <c r="F64" s="17" t="n">
        <v>4</v>
      </c>
      <c r="G64" s="17" t="n">
        <v>11</v>
      </c>
    </row>
    <row r="65" customFormat="false" ht="15" hidden="false" customHeight="true" outlineLevel="0" collapsed="false">
      <c r="A65" s="15" t="n">
        <v>49</v>
      </c>
      <c r="B65" s="15" t="s">
        <v>83</v>
      </c>
      <c r="C65" s="16" t="s">
        <v>84</v>
      </c>
      <c r="D65" s="17" t="n">
        <v>2</v>
      </c>
      <c r="E65" s="17" t="n">
        <v>2</v>
      </c>
      <c r="F65" s="17" t="n">
        <v>5</v>
      </c>
      <c r="G65" s="17" t="n">
        <v>10</v>
      </c>
    </row>
    <row r="66" customFormat="false" ht="15" hidden="false" customHeight="true" outlineLevel="0" collapsed="false">
      <c r="A66" s="15" t="n">
        <v>50</v>
      </c>
      <c r="B66" s="15" t="s">
        <v>85</v>
      </c>
      <c r="C66" s="16" t="s">
        <v>86</v>
      </c>
      <c r="D66" s="17" t="n">
        <v>3</v>
      </c>
      <c r="E66" s="17" t="n">
        <v>5</v>
      </c>
      <c r="F66" s="17" t="n">
        <v>5</v>
      </c>
      <c r="G66" s="17" t="n">
        <v>9</v>
      </c>
    </row>
    <row r="67" customFormat="false" ht="15" hidden="false" customHeight="true" outlineLevel="0" collapsed="false">
      <c r="A67" s="15" t="n">
        <v>51</v>
      </c>
      <c r="B67" s="15" t="s">
        <v>87</v>
      </c>
      <c r="C67" s="16" t="s">
        <v>88</v>
      </c>
      <c r="D67" s="17" t="n">
        <v>1</v>
      </c>
      <c r="E67" s="17" t="n">
        <v>2</v>
      </c>
      <c r="F67" s="17" t="n">
        <v>2</v>
      </c>
      <c r="G67" s="17" t="n">
        <v>5</v>
      </c>
    </row>
  </sheetData>
  <mergeCells count="10">
    <mergeCell ref="B3:C4"/>
    <mergeCell ref="D3:G3"/>
    <mergeCell ref="I3:L3"/>
    <mergeCell ref="N3:Q3"/>
    <mergeCell ref="S3:V3"/>
    <mergeCell ref="B5:C5"/>
    <mergeCell ref="B6:C6"/>
    <mergeCell ref="A13:C13"/>
    <mergeCell ref="A14:C14"/>
    <mergeCell ref="A48:C48"/>
  </mergeCells>
  <conditionalFormatting sqref="D15:D46">
    <cfRule type="expression" priority="2" aboveAverage="0" equalAverage="0" bottom="0" percent="0" rank="0" text="" dxfId="0">
      <formula>D15=MAX($D$15:$D$46)</formula>
    </cfRule>
  </conditionalFormatting>
  <conditionalFormatting sqref="E15:E46">
    <cfRule type="expression" priority="3" aboveAverage="0" equalAverage="0" bottom="0" percent="0" rank="0" text="" dxfId="0">
      <formula>E15=MAX($E$15:$E$46)</formula>
    </cfRule>
  </conditionalFormatting>
  <conditionalFormatting sqref="F15:F46">
    <cfRule type="expression" priority="4" aboveAverage="0" equalAverage="0" bottom="0" percent="0" rank="0" text="" dxfId="0">
      <formula>F15=MAX($F$15:$F$46)</formula>
    </cfRule>
  </conditionalFormatting>
  <conditionalFormatting sqref="G15:G46">
    <cfRule type="expression" priority="5" aboveAverage="0" equalAverage="0" bottom="0" percent="0" rank="0" text="" dxfId="0">
      <formula>G15=MAX($G$15:$G$46)</formula>
    </cfRule>
    <cfRule type="colorScale" priority="6">
      <colorScale>
        <cfvo type="min" val="0"/>
        <cfvo type="max" val="0"/>
        <color rgb="FFFFFFFF"/>
        <color rgb="FFF08080"/>
      </colorScale>
    </cfRule>
  </conditionalFormatting>
  <conditionalFormatting sqref="D49:D67">
    <cfRule type="expression" priority="7" aboveAverage="0" equalAverage="0" bottom="0" percent="0" rank="0" text="" dxfId="0">
      <formula>D49=MAX($D$49:$D$67)</formula>
    </cfRule>
  </conditionalFormatting>
  <conditionalFormatting sqref="E49:E67">
    <cfRule type="expression" priority="8" aboveAverage="0" equalAverage="0" bottom="0" percent="0" rank="0" text="" dxfId="0">
      <formula>E49=MAX($E$49:$E$67)</formula>
    </cfRule>
  </conditionalFormatting>
  <conditionalFormatting sqref="F49:F67">
    <cfRule type="expression" priority="9" aboveAverage="0" equalAverage="0" bottom="0" percent="0" rank="0" text="" dxfId="0">
      <formula>F49=MAX($F$49:$F$67)</formula>
    </cfRule>
  </conditionalFormatting>
  <conditionalFormatting sqref="G49:G67">
    <cfRule type="expression" priority="10" aboveAverage="0" equalAverage="0" bottom="0" percent="0" rank="0" text="" dxfId="0">
      <formula>G49=MAX($G$49:$G$67)</formula>
    </cfRule>
    <cfRule type="colorScale" priority="11">
      <colorScale>
        <cfvo type="min" val="0"/>
        <cfvo type="max" val="0"/>
        <color rgb="FFFFFFFF"/>
        <color rgb="FFF0808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2026-10-15T13:08:07Z</dcterms:created>
  <dc:creator>openpyxl</dc:creator>
  <dc:description/>
  <dc:language>en-US</dc:language>
  <cp:lastModifiedBy/>
  <dcterms:modified xsi:type="dcterms:W3CDTF">2026-10-15T13:16:37Z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